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지에스아이\Dev_WorkTime\output\"/>
    </mc:Choice>
  </mc:AlternateContent>
  <xr:revisionPtr revIDLastSave="0" documentId="13_ncr:1_{A79E6EE9-DA74-4ED1-B9B2-BA6929206118}" xr6:coauthVersionLast="36" xr6:coauthVersionMax="36" xr10:uidLastSave="{00000000-0000-0000-0000-000000000000}"/>
  <bookViews>
    <workbookView xWindow="0" yWindow="0" windowWidth="51600" windowHeight="169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20" i="1" l="1"/>
  <c r="H15" i="1"/>
  <c r="H10" i="1"/>
  <c r="H5" i="1"/>
  <c r="L2" i="1" l="1"/>
  <c r="L3" i="1" s="1"/>
  <c r="L29" i="1" s="1"/>
</calcChain>
</file>

<file path=xl/sharedStrings.xml><?xml version="1.0" encoding="utf-8"?>
<sst xmlns="http://schemas.openxmlformats.org/spreadsheetml/2006/main" count="202" uniqueCount="68">
  <si>
    <t>일자</t>
  </si>
  <si>
    <t>근무형태</t>
  </si>
  <si>
    <t>출근</t>
  </si>
  <si>
    <t>퇴근</t>
  </si>
  <si>
    <t>비근무시간</t>
  </si>
  <si>
    <t>휴게시간</t>
  </si>
  <si>
    <t>실근무시간</t>
  </si>
  <si>
    <t>발생연장근로</t>
  </si>
  <si>
    <t>사용연장근로</t>
  </si>
  <si>
    <t>2026-04-01</t>
  </si>
  <si>
    <t>09:00</t>
  </si>
  <si>
    <t>22:00</t>
  </si>
  <si>
    <t>00:30</t>
  </si>
  <si>
    <t>01:00</t>
  </si>
  <si>
    <t>11:30</t>
  </si>
  <si>
    <t>00:00</t>
  </si>
  <si>
    <t>2026-04-02</t>
  </si>
  <si>
    <t>2026-04-03</t>
  </si>
  <si>
    <t>08:30</t>
  </si>
  <si>
    <t>17:30</t>
  </si>
  <si>
    <t>08:00</t>
  </si>
  <si>
    <t>2026-04-06</t>
  </si>
  <si>
    <t>22:20</t>
  </si>
  <si>
    <t>01:30</t>
  </si>
  <si>
    <t>12:20</t>
  </si>
  <si>
    <t>04:20</t>
  </si>
  <si>
    <t>2026-04-07</t>
  </si>
  <si>
    <t>23:00</t>
  </si>
  <si>
    <t>13:00</t>
  </si>
  <si>
    <t>2026-04-08</t>
  </si>
  <si>
    <t>00:20</t>
  </si>
  <si>
    <t>14:20</t>
  </si>
  <si>
    <t>2026-04-09</t>
  </si>
  <si>
    <t>13:20</t>
  </si>
  <si>
    <t>2026-04-10</t>
  </si>
  <si>
    <t>2026-04-13</t>
  </si>
  <si>
    <t>22:30</t>
  </si>
  <si>
    <t>2026-04-14</t>
  </si>
  <si>
    <t>22:10</t>
  </si>
  <si>
    <t>12:10</t>
  </si>
  <si>
    <t>2026-04-15</t>
  </si>
  <si>
    <t>21:50</t>
  </si>
  <si>
    <t>11:50</t>
  </si>
  <si>
    <t>2026-04-16</t>
  </si>
  <si>
    <t>12:00</t>
  </si>
  <si>
    <t>2026-04-17</t>
  </si>
  <si>
    <t>03:00</t>
  </si>
  <si>
    <t>2026-04-20</t>
  </si>
  <si>
    <t>2026-04-21</t>
  </si>
  <si>
    <t>17:40</t>
  </si>
  <si>
    <t>08:10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</si>
  <si>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</si>
  <si>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</si>
  <si>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</si>
  <si>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</si>
  <si>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</si>
  <si>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</si>
  <si>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</si>
  <si>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정상근무</t>
  </si>
  <si>
    <t>정상근무</t>
    <phoneticPr fontId="1" type="noConversion"/>
  </si>
  <si>
    <t>민방위+오후반차</t>
    <phoneticPr fontId="1" type="noConversion"/>
  </si>
  <si>
    <t>LG창립기념일</t>
    <phoneticPr fontId="1" type="noConversion"/>
  </si>
  <si>
    <t>실 연장 근무 시간 합</t>
    <phoneticPr fontId="1" type="noConversion"/>
  </si>
  <si>
    <t>20시간 초과 1.5배</t>
    <phoneticPr fontId="1" type="noConversion"/>
  </si>
  <si>
    <t>연장근로 시간 사용</t>
    <phoneticPr fontId="1" type="noConversion"/>
  </si>
  <si>
    <t>잔여 연장근로 시간</t>
    <phoneticPr fontId="1" type="noConversion"/>
  </si>
  <si>
    <t>어린이날</t>
    <phoneticPr fontId="1" type="noConversion"/>
  </si>
  <si>
    <t>근로자의 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</si>
</sst>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08A"/>
        <bgColor rgb="FFFEF08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EF08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K8" sqref="K8"/>
    </sheetView>
  </sheetViews>
  <sheetFormatPr defaultRowHeight="16.5" x14ac:dyDescent="0.3"/>
  <cols>
    <col min="1" max="1" width="11.125" bestFit="1" customWidth="1"/>
    <col min="2" max="2" width="16.625" bestFit="1" customWidth="1"/>
    <col min="3" max="4" width="5.875" bestFit="1" customWidth="1"/>
    <col min="5" max="5" width="11" bestFit="1" customWidth="1"/>
    <col min="7" max="7" width="11" bestFit="1" customWidth="1"/>
    <col min="8" max="9" width="13" bestFit="1" customWidth="1"/>
    <col min="10" max="10" width="2.125" customWidth="1"/>
    <col min="11" max="11" width="20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3">
      <c r="A2" s="4" t="s">
        <v>9</v>
      </c>
      <c r="B2" s="4" t="s">
        <v>59</v>
      </c>
      <c r="C2" s="4" t="s">
        <v>10</v>
      </c>
      <c r="D2" s="4" t="s">
        <v>11</v>
      </c>
      <c r="E2" s="4" t="s">
        <v>15</v>
      </c>
      <c r="F2" s="4" t="s">
        <v>23</v>
      </c>
      <c r="G2" s="4" t="s">
        <v>14</v>
      </c>
      <c r="H2" s="1">
        <v>7</v>
      </c>
      <c r="I2" s="3"/>
      <c r="K2" s="8" t="s">
        <v>62</v>
      </c>
      <c r="L2" s="3">
        <f>H2+H5+H10+H15</f>
        <v>35.166666666666664</v>
      </c>
    </row>
    <row r="3" spans="1:12" x14ac:dyDescent="0.3">
      <c r="A3" s="4" t="s">
        <v>16</v>
      </c>
      <c r="B3" s="4" t="s">
        <v>58</v>
      </c>
      <c r="C3" s="4" t="s">
        <v>10</v>
      </c>
      <c r="D3" s="4" t="s">
        <v>11</v>
      </c>
      <c r="E3" s="4" t="s">
        <v>15</v>
      </c>
      <c r="F3" s="4" t="s">
        <v>23</v>
      </c>
      <c r="G3" s="4" t="s">
        <v>14</v>
      </c>
      <c r="H3" s="1"/>
      <c r="I3" s="3"/>
      <c r="K3" s="8" t="s">
        <v>63</v>
      </c>
      <c r="L3" s="3">
        <f>IF(L2 &gt; 20,((L2-20)*1.5)+20,L2)</f>
        <v>42.75</v>
      </c>
    </row>
    <row r="4" spans="1:12" x14ac:dyDescent="0.3">
      <c r="A4" s="3" t="s">
        <v>17</v>
      </c>
      <c r="B4" s="3" t="s">
        <v>58</v>
      </c>
      <c r="C4" s="3" t="s">
        <v>18</v>
      </c>
      <c r="D4" s="3" t="s">
        <v>19</v>
      </c>
      <c r="E4" s="3" t="s">
        <v>15</v>
      </c>
      <c r="F4" s="3" t="s">
        <v>13</v>
      </c>
      <c r="G4" s="3" t="s">
        <v>20</v>
      </c>
      <c r="H4" s="1"/>
      <c r="I4" s="3"/>
    </row>
    <row r="5" spans="1:12" x14ac:dyDescent="0.3">
      <c r="A5" s="4" t="s">
        <v>21</v>
      </c>
      <c r="B5" s="4" t="s">
        <v>58</v>
      </c>
      <c r="C5" s="4" t="s">
        <v>18</v>
      </c>
      <c r="D5" s="4" t="s">
        <v>22</v>
      </c>
      <c r="E5" s="4" t="s">
        <v>15</v>
      </c>
      <c r="F5" s="4" t="s">
        <v>23</v>
      </c>
      <c r="G5" s="4" t="s">
        <v>24</v>
      </c>
      <c r="H5" s="1">
        <f>(((G5*1440)+(G6*1440)+(G7*1440)+(G8*1440)+(G9*1440))/60) - 40</f>
        <v>12</v>
      </c>
      <c r="I5" s="3"/>
    </row>
    <row r="6" spans="1:12" x14ac:dyDescent="0.3">
      <c r="A6" s="4" t="s">
        <v>26</v>
      </c>
      <c r="B6" s="4" t="s">
        <v>58</v>
      </c>
      <c r="C6" s="4" t="s">
        <v>18</v>
      </c>
      <c r="D6" s="4" t="s">
        <v>27</v>
      </c>
      <c r="E6" s="4" t="s">
        <v>15</v>
      </c>
      <c r="F6" s="4" t="s">
        <v>23</v>
      </c>
      <c r="G6" s="4" t="s">
        <v>28</v>
      </c>
      <c r="H6" s="1"/>
      <c r="I6" s="3"/>
    </row>
    <row r="7" spans="1:12" x14ac:dyDescent="0.3">
      <c r="A7" s="4" t="s">
        <v>29</v>
      </c>
      <c r="B7" s="4" t="s">
        <v>58</v>
      </c>
      <c r="C7" s="4" t="s">
        <v>18</v>
      </c>
      <c r="D7" s="4" t="s">
        <v>30</v>
      </c>
      <c r="E7" s="4" t="s">
        <v>15</v>
      </c>
      <c r="F7" s="4" t="s">
        <v>23</v>
      </c>
      <c r="G7" s="4" t="s">
        <v>31</v>
      </c>
      <c r="H7" s="1"/>
      <c r="I7" s="3"/>
    </row>
    <row r="8" spans="1:12" x14ac:dyDescent="0.3">
      <c r="A8" s="3" t="s">
        <v>32</v>
      </c>
      <c r="B8" s="3" t="s">
        <v>58</v>
      </c>
      <c r="C8" s="3" t="s">
        <v>18</v>
      </c>
      <c r="D8" s="3" t="s">
        <v>33</v>
      </c>
      <c r="E8" s="3" t="s">
        <v>15</v>
      </c>
      <c r="F8" s="3" t="s">
        <v>12</v>
      </c>
      <c r="G8" s="3" t="s">
        <v>25</v>
      </c>
      <c r="H8" s="1"/>
      <c r="I8" s="3"/>
    </row>
    <row r="9" spans="1:12" x14ac:dyDescent="0.3">
      <c r="A9" s="3" t="s">
        <v>34</v>
      </c>
      <c r="B9" s="13" t="s">
        <v>61</v>
      </c>
      <c r="C9" s="3" t="s">
        <v>18</v>
      </c>
      <c r="D9" s="3" t="s">
        <v>19</v>
      </c>
      <c r="E9" s="3" t="s">
        <v>15</v>
      </c>
      <c r="F9" s="3" t="s">
        <v>15</v>
      </c>
      <c r="G9" s="3" t="s">
        <v>20</v>
      </c>
      <c r="H9" s="1"/>
      <c r="I9" s="3"/>
    </row>
    <row r="10" spans="1:12" x14ac:dyDescent="0.3">
      <c r="A10" s="4" t="s">
        <v>35</v>
      </c>
      <c r="B10" s="4" t="s">
        <v>58</v>
      </c>
      <c r="C10" s="4" t="s">
        <v>20</v>
      </c>
      <c r="D10" s="4" t="s">
        <v>36</v>
      </c>
      <c r="E10" s="4" t="s">
        <v>15</v>
      </c>
      <c r="F10" s="4" t="s">
        <v>23</v>
      </c>
      <c r="G10" s="4" t="s">
        <v>28</v>
      </c>
      <c r="H10" s="1">
        <f>(((G10*1440)+(G11*1440)+(G12*1440)+(G13*1440)+(G14*1440))/60) - 40</f>
        <v>12</v>
      </c>
      <c r="I10" s="3"/>
    </row>
    <row r="11" spans="1:12" x14ac:dyDescent="0.3">
      <c r="A11" s="4" t="s">
        <v>37</v>
      </c>
      <c r="B11" s="4" t="s">
        <v>58</v>
      </c>
      <c r="C11" s="4" t="s">
        <v>18</v>
      </c>
      <c r="D11" s="4" t="s">
        <v>38</v>
      </c>
      <c r="E11" s="4" t="s">
        <v>15</v>
      </c>
      <c r="F11" s="4" t="s">
        <v>23</v>
      </c>
      <c r="G11" s="4" t="s">
        <v>39</v>
      </c>
      <c r="H11" s="1"/>
      <c r="I11" s="3"/>
    </row>
    <row r="12" spans="1:12" x14ac:dyDescent="0.3">
      <c r="A12" s="4" t="s">
        <v>40</v>
      </c>
      <c r="B12" s="4" t="s">
        <v>58</v>
      </c>
      <c r="C12" s="4" t="s">
        <v>18</v>
      </c>
      <c r="D12" s="4" t="s">
        <v>41</v>
      </c>
      <c r="E12" s="4" t="s">
        <v>15</v>
      </c>
      <c r="F12" s="4" t="s">
        <v>23</v>
      </c>
      <c r="G12" s="4" t="s">
        <v>42</v>
      </c>
      <c r="H12" s="1"/>
      <c r="I12" s="3"/>
    </row>
    <row r="13" spans="1:12" x14ac:dyDescent="0.3">
      <c r="A13" s="4" t="s">
        <v>43</v>
      </c>
      <c r="B13" s="4" t="s">
        <v>58</v>
      </c>
      <c r="C13" s="4" t="s">
        <v>18</v>
      </c>
      <c r="D13" s="4" t="s">
        <v>11</v>
      </c>
      <c r="E13" s="4" t="s">
        <v>15</v>
      </c>
      <c r="F13" s="4" t="s">
        <v>23</v>
      </c>
      <c r="G13" s="4" t="s">
        <v>44</v>
      </c>
      <c r="H13" s="1"/>
      <c r="I13" s="3"/>
    </row>
    <row r="14" spans="1:12" x14ac:dyDescent="0.3">
      <c r="A14" s="3" t="s">
        <v>45</v>
      </c>
      <c r="B14" s="3" t="s">
        <v>58</v>
      </c>
      <c r="C14" s="3" t="s">
        <v>18</v>
      </c>
      <c r="D14" s="3" t="s">
        <v>14</v>
      </c>
      <c r="E14" s="3" t="s">
        <v>15</v>
      </c>
      <c r="F14" s="3" t="s">
        <v>15</v>
      </c>
      <c r="G14" s="3" t="s">
        <v>46</v>
      </c>
      <c r="H14" s="1"/>
      <c r="I14" s="3"/>
    </row>
    <row r="15" spans="1:12" x14ac:dyDescent="0.3">
      <c r="A15" s="4" t="s">
        <v>47</v>
      </c>
      <c r="B15" s="4" t="s">
        <v>58</v>
      </c>
      <c r="C15" s="4" t="s">
        <v>18</v>
      </c>
      <c r="D15" s="4" t="s">
        <v>11</v>
      </c>
      <c r="E15" s="4" t="s">
        <v>15</v>
      </c>
      <c r="F15" s="4" t="s">
        <v>23</v>
      </c>
      <c r="G15" s="4" t="s">
        <v>44</v>
      </c>
      <c r="H15" s="1">
        <f>(((G15*1440)+(G16*1440)+(G17*1440)+(G18*1440)+(G19*1440))/60) - 40</f>
        <v>4.1666666666666643</v>
      </c>
      <c r="I15" s="3"/>
    </row>
    <row r="16" spans="1:12" x14ac:dyDescent="0.3">
      <c r="A16" s="4" t="s">
        <v>48</v>
      </c>
      <c r="B16" s="4" t="s">
        <v>58</v>
      </c>
      <c r="C16" s="4" t="s">
        <v>18</v>
      </c>
      <c r="D16" s="4" t="s">
        <v>49</v>
      </c>
      <c r="E16" s="4" t="s">
        <v>15</v>
      </c>
      <c r="F16" s="4" t="s">
        <v>13</v>
      </c>
      <c r="G16" s="4" t="s">
        <v>50</v>
      </c>
      <c r="H16" s="1"/>
      <c r="I16" s="3"/>
    </row>
    <row r="17" spans="1:12" x14ac:dyDescent="0.3">
      <c r="A17" s="3" t="s">
        <v>51</v>
      </c>
      <c r="B17" s="3" t="s">
        <v>58</v>
      </c>
      <c r="C17" s="3" t="s">
        <v>18</v>
      </c>
      <c r="D17" s="3" t="s">
        <v>19</v>
      </c>
      <c r="E17" s="3" t="s">
        <v>15</v>
      </c>
      <c r="F17" s="3" t="s">
        <v>13</v>
      </c>
      <c r="G17" s="3" t="s">
        <v>20</v>
      </c>
      <c r="H17" s="1"/>
      <c r="I17" s="3"/>
    </row>
    <row r="18" spans="1:12" x14ac:dyDescent="0.3">
      <c r="A18" s="3" t="s">
        <v>52</v>
      </c>
      <c r="B18" s="3" t="s">
        <v>58</v>
      </c>
      <c r="C18" s="3" t="s">
        <v>18</v>
      </c>
      <c r="D18" s="3" t="s">
        <v>19</v>
      </c>
      <c r="E18" s="3" t="s">
        <v>15</v>
      </c>
      <c r="F18" s="3" t="s">
        <v>13</v>
      </c>
      <c r="G18" s="3" t="s">
        <v>20</v>
      </c>
      <c r="H18" s="1"/>
      <c r="I18" s="3"/>
    </row>
    <row r="19" spans="1:12" x14ac:dyDescent="0.3">
      <c r="A19" s="3" t="s">
        <v>53</v>
      </c>
      <c r="B19" s="14" t="s">
        <v>60</v>
      </c>
      <c r="C19" s="3" t="s">
        <v>18</v>
      </c>
      <c r="D19" s="3" t="s">
        <v>19</v>
      </c>
      <c r="E19" s="3" t="s">
        <v>15</v>
      </c>
      <c r="F19" s="3" t="s">
        <v>15</v>
      </c>
      <c r="G19" s="3" t="s">
        <v>20</v>
      </c>
      <c r="H19" s="1"/>
      <c r="I19" s="3"/>
    </row>
    <row r="20" spans="1:12" x14ac:dyDescent="0.3">
      <c r="A20" s="3" t="s">
        <v>54</v>
      </c>
      <c r="B20" s="3" t="s">
        <v>58</v>
      </c>
      <c r="C20" s="3" t="s">
        <v>18</v>
      </c>
      <c r="D20" s="3" t="s">
        <v>19</v>
      </c>
      <c r="E20" s="3" t="s">
        <v>15</v>
      </c>
      <c r="F20" s="3" t="s">
        <v>13</v>
      </c>
      <c r="G20" s="3" t="s">
        <v>20</v>
      </c>
      <c r="H20" s="9">
        <f>(((G20*1440)+(G21*1440)+(G22*1440)+(G23*1440)+(G24*1440))/60) - 40</f>
        <v>0</v>
      </c>
      <c r="I20" s="3"/>
    </row>
    <row r="21" spans="1:12" x14ac:dyDescent="0.3">
      <c r="A21" s="3" t="s">
        <v>55</v>
      </c>
      <c r="B21" s="3" t="s">
        <v>58</v>
      </c>
      <c r="C21" s="3" t="s">
        <v>18</v>
      </c>
      <c r="D21" s="3" t="s">
        <v>19</v>
      </c>
      <c r="E21" s="3" t="s">
        <v>15</v>
      </c>
      <c r="F21" s="3" t="s">
        <v>13</v>
      </c>
      <c r="G21" s="3" t="s">
        <v>20</v>
      </c>
      <c r="H21" s="10"/>
      <c r="I21" s="3"/>
    </row>
    <row r="22" spans="1:12" x14ac:dyDescent="0.3">
      <c r="A22" s="3" t="s">
        <v>56</v>
      </c>
      <c r="B22" s="3" t="s">
        <v>58</v>
      </c>
      <c r="C22" s="3" t="s">
        <v>18</v>
      </c>
      <c r="D22" s="3" t="s">
        <v>19</v>
      </c>
      <c r="E22" s="3" t="s">
        <v>15</v>
      </c>
      <c r="F22" s="3" t="s">
        <v>13</v>
      </c>
      <c r="G22" s="3" t="s">
        <v>20</v>
      </c>
      <c r="H22" s="10"/>
      <c r="I22" s="3"/>
    </row>
    <row r="23" spans="1:12" x14ac:dyDescent="0.3">
      <c r="A23" s="15" t="s">
        <v>57</v>
      </c>
      <c r="B23" s="15" t="s">
        <v>64</v>
      </c>
      <c r="C23" s="15" t="s">
        <v>18</v>
      </c>
      <c r="D23" s="15" t="s">
        <v>19</v>
      </c>
      <c r="E23" s="15" t="s">
        <v>15</v>
      </c>
      <c r="F23" s="15" t="s">
        <v>13</v>
      </c>
      <c r="G23" s="15" t="s">
        <v>20</v>
      </c>
      <c r="H23" s="10"/>
      <c r="I23" s="17">
        <v>8</v>
      </c>
    </row>
    <row r="24" spans="1:12" x14ac:dyDescent="0.3">
      <c r="A24" s="6">
        <v>46143</v>
      </c>
      <c r="B24" s="12" t="s">
        <v>67</v>
      </c>
      <c r="C24" s="3" t="s">
        <v>18</v>
      </c>
      <c r="D24" s="3" t="s">
        <v>19</v>
      </c>
      <c r="E24" s="3" t="s">
        <v>15</v>
      </c>
      <c r="F24" s="3" t="s">
        <v>13</v>
      </c>
      <c r="G24" s="3" t="s">
        <v>20</v>
      </c>
      <c r="H24" s="11"/>
      <c r="I24" s="3"/>
    </row>
    <row r="25" spans="1:12" x14ac:dyDescent="0.3">
      <c r="A25" s="16">
        <v>46146</v>
      </c>
      <c r="B25" s="15" t="s">
        <v>64</v>
      </c>
      <c r="C25" s="15" t="s">
        <v>18</v>
      </c>
      <c r="D25" s="15" t="s">
        <v>19</v>
      </c>
      <c r="E25" s="15" t="s">
        <v>15</v>
      </c>
      <c r="F25" s="15" t="s">
        <v>13</v>
      </c>
      <c r="G25" s="15" t="s">
        <v>20</v>
      </c>
      <c r="H25" s="2">
        <v>0</v>
      </c>
      <c r="I25" s="17">
        <v>8</v>
      </c>
    </row>
    <row r="26" spans="1:12" x14ac:dyDescent="0.3">
      <c r="A26" s="6">
        <v>46147</v>
      </c>
      <c r="B26" s="13" t="s">
        <v>66</v>
      </c>
      <c r="C26" s="3" t="s">
        <v>18</v>
      </c>
      <c r="D26" s="3" t="s">
        <v>19</v>
      </c>
      <c r="E26" s="3" t="s">
        <v>15</v>
      </c>
      <c r="F26" s="3" t="s">
        <v>13</v>
      </c>
      <c r="G26" s="3" t="s">
        <v>20</v>
      </c>
      <c r="H26" s="2"/>
      <c r="I26" s="3"/>
    </row>
    <row r="27" spans="1:12" x14ac:dyDescent="0.3">
      <c r="A27" s="16">
        <v>46148</v>
      </c>
      <c r="B27" s="15" t="s">
        <v>64</v>
      </c>
      <c r="C27" s="15" t="s">
        <v>18</v>
      </c>
      <c r="D27" s="15" t="s">
        <v>19</v>
      </c>
      <c r="E27" s="15" t="s">
        <v>15</v>
      </c>
      <c r="F27" s="15" t="s">
        <v>13</v>
      </c>
      <c r="G27" s="15" t="s">
        <v>20</v>
      </c>
      <c r="H27" s="2"/>
      <c r="I27" s="17">
        <v>8</v>
      </c>
    </row>
    <row r="28" spans="1:12" x14ac:dyDescent="0.3">
      <c r="A28" s="16">
        <v>46149</v>
      </c>
      <c r="B28" s="15" t="s">
        <v>64</v>
      </c>
      <c r="C28" s="15" t="s">
        <v>18</v>
      </c>
      <c r="D28" s="15" t="s">
        <v>19</v>
      </c>
      <c r="E28" s="15" t="s">
        <v>15</v>
      </c>
      <c r="F28" s="15" t="s">
        <v>13</v>
      </c>
      <c r="G28" s="15" t="s">
        <v>20</v>
      </c>
      <c r="H28" s="2"/>
      <c r="I28" s="17">
        <v>8</v>
      </c>
    </row>
    <row r="29" spans="1:12" x14ac:dyDescent="0.3">
      <c r="A29" s="16">
        <v>46150</v>
      </c>
      <c r="B29" s="15" t="s">
        <v>64</v>
      </c>
      <c r="C29" s="15" t="s">
        <v>18</v>
      </c>
      <c r="D29" s="15" t="s">
        <v>19</v>
      </c>
      <c r="E29" s="15" t="s">
        <v>15</v>
      </c>
      <c r="F29" s="15" t="s">
        <v>13</v>
      </c>
      <c r="G29" s="15" t="s">
        <v>20</v>
      </c>
      <c r="H29" s="2"/>
      <c r="I29" s="17">
        <v>8</v>
      </c>
      <c r="K29" s="7" t="s">
        <v>65</v>
      </c>
      <c r="L29" s="5">
        <f>L3-SUM(I2:I29)</f>
        <v>2.75</v>
      </c>
    </row>
  </sheetData>
  <mergeCells count="6">
    <mergeCell ref="H2:H4"/>
    <mergeCell ref="H5:H9"/>
    <mergeCell ref="H10:H14"/>
    <mergeCell ref="H15:H19"/>
    <mergeCell ref="H25:H29"/>
    <mergeCell ref="H20:H24"/>
  </mergeCells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주형진(HyeongJin Ju)[gofrt234]</cp:lastModifiedBy>
  <dcterms:created xsi:type="dcterms:W3CDTF">2026-04-29T03:09:54Z</dcterms:created>
  <dcterms:modified xsi:type="dcterms:W3CDTF">2026-04-29T04:09:59Z</dcterms:modified>
</cp:coreProperties>
</file>